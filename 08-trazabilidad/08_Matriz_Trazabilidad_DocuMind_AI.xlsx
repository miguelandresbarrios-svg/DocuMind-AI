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53bd11560a449d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triz" sheetId="1" r:id="R21df1cc0fd9b46db"/>
    <x:sheet xmlns:r="http://schemas.openxmlformats.org/officeDocument/2006/relationships" name="Resumen" sheetId="2" r:id="R535ab4045e094dfc"/>
    <x:sheet xmlns:r="http://schemas.openxmlformats.org/officeDocument/2006/relationships" name="Catalogos" sheetId="3" r:id="R7926b39fe5a341b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%"/>
  </x:numFmts>
  <x:fonts count="5">
    <x:font>
      <x:sz val="11"/>
      <x:name val="Carlito"/>
    </x:font>
    <x:font>
      <x:b/>
      <x:sz val="16"/>
      <x:color rgb="FFFFFFFF"/>
      <x:name val="Carlito"/>
    </x:font>
    <x:font>
      <x:b/>
      <x:sz val="10"/>
      <x:color rgb="FF1F1F1F"/>
      <x:name val="Carlito"/>
    </x:font>
    <x:font>
      <x:b/>
      <x:sz val="11"/>
      <x:color rgb="FFFFFFFF"/>
      <x:name val="Carlito"/>
    </x:font>
    <x:font>
      <x:b/>
      <x:sz val="11"/>
      <x:color rgb="FF7F6000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2F75B5"/>
      </x:patternFill>
    </x:fill>
    <x:fill>
      <x:patternFill patternType="solid">
        <x:fgColor rgb="FFFFF2CC"/>
      </x:patternFill>
    </x:fill>
  </x:fills>
  <x:borders count="20">
    <x:border/>
    <x:border/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</x:borders>
  <x:cellStyleXfs count="1">
    <x:xf numFmtId="0" fontId="0" fillId="0" borderId="0"/>
  </x:cellStyleXfs>
  <x:cellXfs count="6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3" fillId="4" borderId="4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3" fillId="4" borderId="11" xfId="0" applyNumberFormat="1" applyFont="1" applyFill="1" applyBorder="1" applyAlignment="1">
      <x:alignment horizontal="center" vertical="center" wrapText="1"/>
    </x:xf>
    <x:xf numFmtId="0" fontId="3" fillId="4" borderId="12" xfId="0" applyNumberFormat="1" applyFont="1" applyFill="1" applyBorder="1" applyAlignment="1">
      <x:alignment horizontal="center" vertical="center" wrapText="1"/>
    </x:xf>
    <x:xf numFmtId="0" fontId="3" fillId="4" borderId="13" xfId="0" applyNumberFormat="1" applyFont="1" applyFill="1" applyBorder="1" applyAlignment="1">
      <x:alignment horizontal="center" vertical="center"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8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0" fillId="0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wrapText="1"/>
    </x:xf>
  </x:cellXfs>
  <x:cellStyles count="1">
    <x:cellStyle name="Normal" xfId="0"/>
  </x:cellStyles>
  <x:dxfs count="4">
    <x:dxf>
      <x:font>
        <x:color rgb="FF006100"/>
      </x:font>
      <x:fill>
        <x:patternFill patternType="solid">
          <x:bgColor rgb="FFC6EF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6500"/>
      </x:font>
      <x:fill>
        <x:patternFill patternType="solid">
          <x:bgColor rgb="FFFFEB9C"/>
        </x:patternFill>
      </x:fill>
    </x:dxf>
    <x:dxf>
      <x:font>
        <x:color rgb="FF1F4E78"/>
      </x:font>
      <x:fill>
        <x:patternFill patternType="solid">
          <x:bgColor rgb="FFD9EAF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c62964ee94f407d" /><Relationship Type="http://schemas.openxmlformats.org/officeDocument/2006/relationships/theme" Target="/xl/theme/theme1.xml" Id="Rcbcceafcc3b7476f" /><Relationship Type="http://schemas.openxmlformats.org/officeDocument/2006/relationships/sharedStrings" Target="/xl/sharedStrings.xml" Id="Rded002196b014f56" /><Relationship Type="http://schemas.openxmlformats.org/officeDocument/2006/relationships/worksheet" Target="/xl/worksheets/sheet1.xml" Id="R21df1cc0fd9b46db" /><Relationship Type="http://schemas.openxmlformats.org/officeDocument/2006/relationships/worksheet" Target="/xl/worksheets/sheet2.xml" Id="R535ab4045e094dfc" /><Relationship Type="http://schemas.openxmlformats.org/officeDocument/2006/relationships/worksheet" Target="/xl/worksheets/sheet3.xml" Id="R7926b39fe5a341bf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853e650cb3bc4ea2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Estado de requisitos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Series 1</c:v>
          </c:tx>
          <c:cat>
            <c:strRef>
              <c:f>'Resumen'!$D$4:$D$7</c:f>
              <c:strCache>
                <c:ptCount val="0"/>
              </c:strCache>
            </c:strRef>
          </c:cat>
          <c:val>
            <c:numRef>
              <c:f>'Resumen'!$E$4:$E$7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7</xdr:col>
      <xdr:colOff>0</xdr:colOff>
      <xdr:row>2</xdr:row>
      <xdr:rowOff>0</xdr:rowOff>
    </xdr:from>
    <xdr:to>
      <xdr:col>14</xdr:col>
      <xdr:colOff>0</xdr:colOff>
      <xdr:row>16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53e650cb3bc4ea2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MatrizTrazabilidad" displayName="MatrizTrazabilidad" ref="A4:K22" headerRowCount="1" totalsRowCount="0" totalsRowShown="0">
  <x:tableColumns count="11">
    <x:tableColumn id="1" name="ID"/>
    <x:tableColumn id="2" name="Tipo"/>
    <x:tableColumn id="3" name="Requisito"/>
    <x:tableColumn id="4" name="Funcionalidad asociada"/>
    <x:tableColumn id="5" name="Módulo"/>
    <x:tableColumn id="6" name="Caso de uso"/>
    <x:tableColumn id="7" name="Historia de usuario"/>
    <x:tableColumn id="8" name="Prueba(s) relacionada(s)"/>
    <x:tableColumn id="9" name="Prioridad"/>
    <x:tableColumn id="10" name="Estado"/>
    <x:tableColumn id="11" name="Evidencia / Observació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d4470c1da0847a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3f3a3c50e4264e77" /></Relationships>
</file>

<file path=xl/worksheets/sheet1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4" hidden="0" customWidth="1"/>
    <x:col min="3" max="3" width="42" hidden="0" customWidth="1"/>
    <x:col min="4" max="4" width="38" hidden="0" customWidth="1"/>
    <x:col min="5" max="5" width="22" hidden="0" customWidth="1"/>
    <x:col min="6" max="6" width="18" hidden="0" customWidth="1"/>
    <x:col min="7" max="7" width="20" hidden="0" customWidth="1"/>
    <x:col min="8" max="8" width="28" hidden="0" customWidth="1"/>
    <x:col min="9" max="9" width="12" hidden="0" customWidth="1"/>
    <x:col min="10" max="10" width="14" hidden="0" customWidth="1"/>
    <x:col min="11" max="11" width="30" hidden="0" customWidth="1"/>
  </x:cols>
  <x:sheetData>
    <x:row r="1">
      <x:c r="A1" s="5" t="str">
        <x:v>Matriz de Trazabilidad - DocuMind AI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</x:row>
    <x:row r="2">
      <x:c r="A2" s="13" t="str">
        <x:v>Autor: Miguel Andres Barrios Rodriguez | Versión 1.0 | Septiembre de 2026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</x:row>
    <x:row r="4">
      <x:c r="A4" s="30" t="str">
        <x:v>ID</x:v>
      </x:c>
      <x:c r="B4" s="31" t="str">
        <x:v>Tipo</x:v>
      </x:c>
      <x:c r="C4" s="31" t="str">
        <x:v>Requisito</x:v>
      </x:c>
      <x:c r="D4" s="31" t="str">
        <x:v>Funcionalidad asociada</x:v>
      </x:c>
      <x:c r="E4" s="31" t="str">
        <x:v>Módulo</x:v>
      </x:c>
      <x:c r="F4" s="31" t="str">
        <x:v>Caso de uso</x:v>
      </x:c>
      <x:c r="G4" s="31" t="str">
        <x:v>Historia de usuario</x:v>
      </x:c>
      <x:c r="H4" s="31" t="str">
        <x:v>Prueba(s) relacionada(s)</x:v>
      </x:c>
      <x:c r="I4" s="31" t="str">
        <x:v>Prioridad</x:v>
      </x:c>
      <x:c r="J4" s="31" t="str">
        <x:v>Estado</x:v>
      </x:c>
      <x:c r="K4" s="32" t="str">
        <x:v>Evidencia / Observación</x:v>
      </x:c>
    </x:row>
    <x:row r="5">
      <x:c r="A5" s="33" t="str">
        <x:v>RF01</x:v>
      </x:c>
      <x:c r="B5" s="34" t="str">
        <x:v>Funcional</x:v>
      </x:c>
      <x:c r="C5" s="34" t="str">
        <x:v>Autenticación y control básico de usuarios.</x:v>
      </x:c>
      <x:c r="D5" s="34" t="str">
        <x:v>Inicio de sesión y control de acceso.</x:v>
      </x:c>
      <x:c r="E5" s="34" t="str">
        <x:v>Autenticación</x:v>
      </x:c>
      <x:c r="F5" s="34" t="str">
        <x:v>CU01</x:v>
      </x:c>
      <x:c r="G5" s="34" t="str">
        <x:v>HU01</x:v>
      </x:c>
      <x:c r="H5" s="34" t="str">
        <x:v>CP01, CP02</x:v>
      </x:c>
      <x:c r="I5" s="34" t="str">
        <x:v>Alta</x:v>
      </x:c>
      <x:c r="J5" s="34" t="str">
        <x:v>Pendiente</x:v>
      </x:c>
      <x:c r="K5" s="35" t="str"/>
    </x:row>
    <x:row r="6">
      <x:c r="A6" s="33" t="str">
        <x:v>RF02</x:v>
      </x:c>
      <x:c r="B6" s="34" t="str">
        <x:v>Funcional</x:v>
      </x:c>
      <x:c r="C6" s="34" t="str">
        <x:v>Creación y administración de repositorios/carpetas.</x:v>
      </x:c>
      <x:c r="D6" s="34" t="str">
        <x:v>Crear, consultar y administrar repositorios.</x:v>
      </x:c>
      <x:c r="E6" s="34" t="str">
        <x:v>Repositorios</x:v>
      </x:c>
      <x:c r="F6" s="34" t="str">
        <x:v>CU02</x:v>
      </x:c>
      <x:c r="G6" s="34" t="str">
        <x:v>HU02</x:v>
      </x:c>
      <x:c r="H6" s="34" t="str">
        <x:v>CP03</x:v>
      </x:c>
      <x:c r="I6" s="34" t="str">
        <x:v>Alta</x:v>
      </x:c>
      <x:c r="J6" s="34" t="str">
        <x:v>Pendiente</x:v>
      </x:c>
      <x:c r="K6" s="35" t="str"/>
    </x:row>
    <x:row r="7">
      <x:c r="A7" s="33" t="str">
        <x:v>RF03</x:v>
      </x:c>
      <x:c r="B7" s="34" t="str">
        <x:v>Funcional</x:v>
      </x:c>
      <x:c r="C7" s="34" t="str">
        <x:v>Carga, consulta, descarga y eliminación de archivos.</x:v>
      </x:c>
      <x:c r="D7" s="34" t="str">
        <x:v>Gestión completa del ciclo de vida de documentos.</x:v>
      </x:c>
      <x:c r="E7" s="34" t="str">
        <x:v>Documentos</x:v>
      </x:c>
      <x:c r="F7" s="34" t="str">
        <x:v>CU03, CU04, CU05</x:v>
      </x:c>
      <x:c r="G7" s="34" t="str">
        <x:v>HU03</x:v>
      </x:c>
      <x:c r="H7" s="34" t="str">
        <x:v>CP04, CP05, CP06</x:v>
      </x:c>
      <x:c r="I7" s="34" t="str">
        <x:v>Alta</x:v>
      </x:c>
      <x:c r="J7" s="34" t="str">
        <x:v>Pendiente</x:v>
      </x:c>
      <x:c r="K7" s="35" t="str"/>
    </x:row>
    <x:row r="8">
      <x:c r="A8" s="33" t="str">
        <x:v>RF04</x:v>
      </x:c>
      <x:c r="B8" s="34" t="str">
        <x:v>Funcional</x:v>
      </x:c>
      <x:c r="C8" s="34" t="str">
        <x:v>Soporte mínimo para PDF, DOCX y TXT.</x:v>
      </x:c>
      <x:c r="D8" s="34" t="str">
        <x:v>Validar y procesar los tres formatos requeridos.</x:v>
      </x:c>
      <x:c r="E8" s="34" t="str">
        <x:v>Documentos</x:v>
      </x:c>
      <x:c r="F8" s="34" t="str">
        <x:v>CU03</x:v>
      </x:c>
      <x:c r="G8" s="34" t="str">
        <x:v>HU03</x:v>
      </x:c>
      <x:c r="H8" s="34" t="str">
        <x:v>CP04, CP05, CP06, CP07</x:v>
      </x:c>
      <x:c r="I8" s="34" t="str">
        <x:v>Alta</x:v>
      </x:c>
      <x:c r="J8" s="34" t="str">
        <x:v>Pendiente</x:v>
      </x:c>
      <x:c r="K8" s="35" t="str"/>
    </x:row>
    <x:row r="9">
      <x:c r="A9" s="33" t="str">
        <x:v>RF05</x:v>
      </x:c>
      <x:c r="B9" s="34" t="str">
        <x:v>Funcional</x:v>
      </x:c>
      <x:c r="C9" s="34" t="str">
        <x:v>Procesamiento automático de documentos mediante IA.</x:v>
      </x:c>
      <x:c r="D9" s="34" t="str">
        <x:v>Extraer texto y ejecutar el análisis inteligente.</x:v>
      </x:c>
      <x:c r="E9" s="34" t="str">
        <x:v>Procesamiento IA</x:v>
      </x:c>
      <x:c r="F9" s="34" t="str">
        <x:v>CU06</x:v>
      </x:c>
      <x:c r="G9" s="34" t="str">
        <x:v>HU04</x:v>
      </x:c>
      <x:c r="H9" s="34" t="str">
        <x:v>CP08, CP09, CP10, CP11, CP12</x:v>
      </x:c>
      <x:c r="I9" s="34" t="str">
        <x:v>Alta</x:v>
      </x:c>
      <x:c r="J9" s="34" t="str">
        <x:v>Pendiente</x:v>
      </x:c>
      <x:c r="K9" s="35" t="str"/>
    </x:row>
    <x:row r="10">
      <x:c r="A10" s="33" t="str">
        <x:v>RF06</x:v>
      </x:c>
      <x:c r="B10" s="34" t="str">
        <x:v>Funcional</x:v>
      </x:c>
      <x:c r="C10" s="34" t="str">
        <x:v>Clasificación automática en mínimo tres categorías.</x:v>
      </x:c>
      <x:c r="D10" s="34" t="str">
        <x:v>Clasificar documentos como Contratos, Facturas e Informes.</x:v>
      </x:c>
      <x:c r="E10" s="34" t="str">
        <x:v>Clasificación</x:v>
      </x:c>
      <x:c r="F10" s="34" t="str">
        <x:v>CU07</x:v>
      </x:c>
      <x:c r="G10" s="34" t="str">
        <x:v>HU05</x:v>
      </x:c>
      <x:c r="H10" s="34" t="str">
        <x:v>CP08</x:v>
      </x:c>
      <x:c r="I10" s="34" t="str">
        <x:v>Alta</x:v>
      </x:c>
      <x:c r="J10" s="34" t="str">
        <x:v>Pendiente</x:v>
      </x:c>
      <x:c r="K10" s="35" t="str"/>
    </x:row>
    <x:row r="11">
      <x:c r="A11" s="33" t="str">
        <x:v>RF07</x:v>
      </x:c>
      <x:c r="B11" s="34" t="str">
        <x:v>Funcional</x:v>
      </x:c>
      <x:c r="C11" s="34" t="str">
        <x:v>Generación de resumen por documento.</x:v>
      </x:c>
      <x:c r="D11" s="34" t="str">
        <x:v>Crear una síntesis del contenido procesado.</x:v>
      </x:c>
      <x:c r="E11" s="34" t="str">
        <x:v>Resumen</x:v>
      </x:c>
      <x:c r="F11" s="34" t="str">
        <x:v>CU08</x:v>
      </x:c>
      <x:c r="G11" s="34" t="str">
        <x:v>HU06</x:v>
      </x:c>
      <x:c r="H11" s="34" t="str">
        <x:v>CP09</x:v>
      </x:c>
      <x:c r="I11" s="34" t="str">
        <x:v>Alta</x:v>
      </x:c>
      <x:c r="J11" s="34" t="str">
        <x:v>Pendiente</x:v>
      </x:c>
      <x:c r="K11" s="35" t="str"/>
    </x:row>
    <x:row r="12">
      <x:c r="A12" s="33" t="str">
        <x:v>RF08</x:v>
      </x:c>
      <x:c r="B12" s="34" t="str">
        <x:v>Funcional</x:v>
      </x:c>
      <x:c r="C12" s="34" t="str">
        <x:v>Extracción de información relevante de mínimo tres tipos de documentos.</x:v>
      </x:c>
      <x:c r="D12" s="34" t="str">
        <x:v>Extraer datos estructurados de contratos, facturas e informes.</x:v>
      </x:c>
      <x:c r="E12" s="34" t="str">
        <x:v>Extracción</x:v>
      </x:c>
      <x:c r="F12" s="34" t="str">
        <x:v>CU09</x:v>
      </x:c>
      <x:c r="G12" s="34" t="str">
        <x:v>HU07</x:v>
      </x:c>
      <x:c r="H12" s="34" t="str">
        <x:v>CP10, CP11, CP12</x:v>
      </x:c>
      <x:c r="I12" s="34" t="str">
        <x:v>Alta</x:v>
      </x:c>
      <x:c r="J12" s="34" t="str">
        <x:v>Pendiente</x:v>
      </x:c>
      <x:c r="K12" s="35" t="str"/>
    </x:row>
    <x:row r="13">
      <x:c r="A13" s="33" t="str">
        <x:v>RF09</x:v>
      </x:c>
      <x:c r="B13" s="34" t="str">
        <x:v>Funcional</x:v>
      </x:c>
      <x:c r="C13" s="34" t="str">
        <x:v>Búsqueda dentro del contenido documental.</x:v>
      </x:c>
      <x:c r="D13" s="34" t="str">
        <x:v>Buscar palabras, frases y fragmentos dentro del contenido procesado.</x:v>
      </x:c>
      <x:c r="E13" s="34" t="str">
        <x:v>Búsqueda/Consulta</x:v>
      </x:c>
      <x:c r="F13" s="34" t="str">
        <x:v>CU10</x:v>
      </x:c>
      <x:c r="G13" s="34" t="str">
        <x:v>HU08</x:v>
      </x:c>
      <x:c r="H13" s="34" t="str">
        <x:v>CP13</x:v>
      </x:c>
      <x:c r="I13" s="34" t="str">
        <x:v>Alta</x:v>
      </x:c>
      <x:c r="J13" s="34" t="str">
        <x:v>Pendiente</x:v>
      </x:c>
      <x:c r="K13" s="35" t="str"/>
    </x:row>
    <x:row r="14">
      <x:c r="A14" s="33" t="str">
        <x:v>RF10</x:v>
      </x:c>
      <x:c r="B14" s="34" t="str">
        <x:v>Funcional</x:v>
      </x:c>
      <x:c r="C14" s="34" t="str">
        <x:v>Consulta mediante lenguaje natural sobre los documentos.</x:v>
      </x:c>
      <x:c r="D14" s="34" t="str">
        <x:v>Responder preguntas utilizando información recuperada del repositorio.</x:v>
      </x:c>
      <x:c r="E14" s="34" t="str">
        <x:v>Búsqueda/Consulta</x:v>
      </x:c>
      <x:c r="F14" s="34" t="str">
        <x:v>CU11</x:v>
      </x:c>
      <x:c r="G14" s="34" t="str">
        <x:v>HU09</x:v>
      </x:c>
      <x:c r="H14" s="34" t="str">
        <x:v>CP14</x:v>
      </x:c>
      <x:c r="I14" s="34" t="str">
        <x:v>Alta</x:v>
      </x:c>
      <x:c r="J14" s="34" t="str">
        <x:v>Pendiente</x:v>
      </x:c>
      <x:c r="K14" s="35" t="str"/>
    </x:row>
    <x:row r="15">
      <x:c r="A15" s="33" t="str">
        <x:v>RF11</x:v>
      </x:c>
      <x:c r="B15" s="34" t="str">
        <x:v>Funcional</x:v>
      </x:c>
      <x:c r="C15" s="34" t="str">
        <x:v>Dashboard con indicadores del repositorio.</x:v>
      </x:c>
      <x:c r="D15" s="34" t="str">
        <x:v>Mostrar totales, estados, categorías y métricas documentales.</x:v>
      </x:c>
      <x:c r="E15" s="34" t="str">
        <x:v>Dashboard/Errores</x:v>
      </x:c>
      <x:c r="F15" s="34" t="str">
        <x:v>CU12</x:v>
      </x:c>
      <x:c r="G15" s="34" t="str">
        <x:v>HU10</x:v>
      </x:c>
      <x:c r="H15" s="34" t="str">
        <x:v>CP01, CP03, CP04, CP08</x:v>
      </x:c>
      <x:c r="I15" s="34" t="str">
        <x:v>Media</x:v>
      </x:c>
      <x:c r="J15" s="34" t="str">
        <x:v>Pendiente</x:v>
      </x:c>
      <x:c r="K15" s="35" t="str"/>
    </x:row>
    <x:row r="16">
      <x:c r="A16" s="33" t="str">
        <x:v>RF12</x:v>
      </x:c>
      <x:c r="B16" s="34" t="str">
        <x:v>Funcional</x:v>
      </x:c>
      <x:c r="C16" s="34" t="str">
        <x:v>Registro de errores y estados de procesamiento.</x:v>
      </x:c>
      <x:c r="D16" s="34" t="str">
        <x:v>Registrar estados Pendiente, Procesando, Procesado y Error.</x:v>
      </x:c>
      <x:c r="E16" s="34" t="str">
        <x:v>Dashboard/Errores</x:v>
      </x:c>
      <x:c r="F16" s="34" t="str">
        <x:v>CU13</x:v>
      </x:c>
      <x:c r="G16" s="34" t="str">
        <x:v>HU11</x:v>
      </x:c>
      <x:c r="H16" s="34" t="str">
        <x:v>CP15</x:v>
      </x:c>
      <x:c r="I16" s="34" t="str">
        <x:v>Alta</x:v>
      </x:c>
      <x:c r="J16" s="34" t="str">
        <x:v>Pendiente</x:v>
      </x:c>
      <x:c r="K16" s="35" t="str"/>
    </x:row>
    <x:row r="17">
      <x:c r="A17" s="33" t="str">
        <x:v>RF13</x:v>
      </x:c>
      <x:c r="B17" s="34" t="str">
        <x:v>Funcional</x:v>
      </x:c>
      <x:c r="C17" s="34" t="str">
        <x:v>Flujo real archivo → extracción → IA → análisis → almacenamiento → búsqueda/consulta → respuesta.</x:v>
      </x:c>
      <x:c r="D17" s="34" t="str">
        <x:v>Orquestar el procesamiento documental completo de extremo a extremo.</x:v>
      </x:c>
      <x:c r="E17" s="34" t="str">
        <x:v>Procesamiento IA</x:v>
      </x:c>
      <x:c r="F17" s="34" t="str">
        <x:v>CU06, CU07, CU08, CU09, CU10, CU11</x:v>
      </x:c>
      <x:c r="G17" s="34" t="str">
        <x:v>HU04, HU05, HU06, HU07, HU08, HU09</x:v>
      </x:c>
      <x:c r="H17" s="34" t="str">
        <x:v>CP04, CP08, CP09, CP10, CP11, CP12, CP13, CP14</x:v>
      </x:c>
      <x:c r="I17" s="34" t="str">
        <x:v>Alta</x:v>
      </x:c>
      <x:c r="J17" s="34" t="str">
        <x:v>Pendiente</x:v>
      </x:c>
      <x:c r="K17" s="35" t="str"/>
    </x:row>
    <x:row r="18">
      <x:c r="A18" s="33" t="str">
        <x:v>RNF01</x:v>
      </x:c>
      <x:c r="B18" s="34" t="str">
        <x:v>No funcional</x:v>
      </x:c>
      <x:c r="C18" s="34" t="str">
        <x:v>Las credenciales y API Keys no deben publicarse en el repositorio.</x:v>
      </x:c>
      <x:c r="D18" s="34" t="str">
        <x:v>Uso de variables de entorno y .gitignore.</x:v>
      </x:c>
      <x:c r="E18" s="34" t="str">
        <x:v>Procesamiento IA</x:v>
      </x:c>
      <x:c r="F18" s="34" t="str"/>
      <x:c r="G18" s="34" t="str"/>
      <x:c r="H18" s="34" t="str">
        <x:v>CP02, CP15</x:v>
      </x:c>
      <x:c r="I18" s="34" t="str">
        <x:v>Alta</x:v>
      </x:c>
      <x:c r="J18" s="34" t="str">
        <x:v>Pendiente</x:v>
      </x:c>
      <x:c r="K18" s="35" t="str"/>
    </x:row>
    <x:row r="19">
      <x:c r="A19" s="33" t="str">
        <x:v>RNF02</x:v>
      </x:c>
      <x:c r="B19" s="34" t="str">
        <x:v>No funcional</x:v>
      </x:c>
      <x:c r="C19" s="34" t="str">
        <x:v>La documentación debe corresponder al sistema realmente desarrollado.</x:v>
      </x:c>
      <x:c r="D19" s="34" t="str">
        <x:v>Mantener coherencia entre requisitos, diseño, código y pruebas.</x:v>
      </x:c>
      <x:c r="E19" s="34" t="str">
        <x:v>Dashboard/Errores</x:v>
      </x:c>
      <x:c r="F19" s="34" t="str"/>
      <x:c r="G19" s="34" t="str"/>
      <x:c r="H19" s="34" t="str">
        <x:v>CP01-CP15</x:v>
      </x:c>
      <x:c r="I19" s="34" t="str">
        <x:v>Alta</x:v>
      </x:c>
      <x:c r="J19" s="34" t="str">
        <x:v>Pendiente</x:v>
      </x:c>
      <x:c r="K19" s="35" t="str"/>
    </x:row>
    <x:row r="20">
      <x:c r="A20" s="33" t="str">
        <x:v>RNF03</x:v>
      </x:c>
      <x:c r="B20" s="34" t="str">
        <x:v>No funcional</x:v>
      </x:c>
      <x:c r="C20" s="34" t="str">
        <x:v>El sistema debe gestionar errores sin perder los documentos cargados.</x:v>
      </x:c>
      <x:c r="D20" s="34" t="str">
        <x:v>Persistir estado y registrar fallas de procesamiento.</x:v>
      </x:c>
      <x:c r="E20" s="34" t="str">
        <x:v>Dashboard/Errores</x:v>
      </x:c>
      <x:c r="F20" s="34" t="str"/>
      <x:c r="G20" s="34" t="str"/>
      <x:c r="H20" s="34" t="str">
        <x:v>CP15</x:v>
      </x:c>
      <x:c r="I20" s="34" t="str">
        <x:v>Alta</x:v>
      </x:c>
      <x:c r="J20" s="34" t="str">
        <x:v>Pendiente</x:v>
      </x:c>
      <x:c r="K20" s="35" t="str"/>
    </x:row>
    <x:row r="21">
      <x:c r="A21" s="33" t="str">
        <x:v>RNF04</x:v>
      </x:c>
      <x:c r="B21" s="34" t="str">
        <x:v>No funcional</x:v>
      </x:c>
      <x:c r="C21" s="34" t="str">
        <x:v>La aplicación debe ser reproducible mediante documentación técnica y scripts.</x:v>
      </x:c>
      <x:c r="D21" s="34" t="str">
        <x:v>Instalación, configuración y ejecución reproducible.</x:v>
      </x:c>
      <x:c r="E21" s="34" t="str">
        <x:v>Documentos</x:v>
      </x:c>
      <x:c r="F21" s="34" t="str"/>
      <x:c r="G21" s="34" t="str"/>
      <x:c r="H21" s="34" t="str">
        <x:v>CP01, CP03, CP04</x:v>
      </x:c>
      <x:c r="I21" s="34" t="str">
        <x:v>Media</x:v>
      </x:c>
      <x:c r="J21" s="34" t="str">
        <x:v>Pendiente</x:v>
      </x:c>
      <x:c r="K21" s="35" t="str"/>
    </x:row>
    <x:row r="22">
      <x:c r="A22" s="36" t="str">
        <x:v>RNF05</x:v>
      </x:c>
      <x:c r="B22" s="37" t="str">
        <x:v>No funcional</x:v>
      </x:c>
      <x:c r="C22" s="37" t="str">
        <x:v>La aplicación debe funcionar en navegadores web modernos.</x:v>
      </x:c>
      <x:c r="D22" s="37" t="str">
        <x:v>Interfaz web compatible y utilizable.</x:v>
      </x:c>
      <x:c r="E22" s="37" t="str">
        <x:v>Documentos</x:v>
      </x:c>
      <x:c r="F22" s="37" t="str"/>
      <x:c r="G22" s="37" t="str"/>
      <x:c r="H22" s="37" t="str">
        <x:v>CP01, CP03, CP04, CP13, CP14</x:v>
      </x:c>
      <x:c r="I22" s="37" t="str">
        <x:v>Media</x:v>
      </x:c>
      <x:c r="J22" s="37" t="str">
        <x:v>Pendiente</x:v>
      </x:c>
      <x:c r="K22" s="38" t="str"/>
    </x:row>
  </x:sheetData>
  <x:mergeCells>
    <x:mergeCell ref="A1:K1"/>
    <x:mergeCell ref="A2:K2"/>
  </x:mergeCells>
  <x:conditionalFormatting sqref="J5:J22">
    <x:cfRule type="expression" dxfId="0" priority="1">
      <x:formula>J5="Cumple"</x:formula>
    </x:cfRule>
    <x:cfRule type="expression" dxfId="1" priority="2">
      <x:formula>J5="No cumple"</x:formula>
    </x:cfRule>
    <x:cfRule type="expression" dxfId="2" priority="3">
      <x:formula>J5="En ejecución"</x:formula>
    </x:cfRule>
    <x:cfRule type="expression" dxfId="3" priority="4">
      <x:formula>J5="Pendiente"</x:formula>
    </x:cfRule>
  </x:conditionalFormatting>
  <x:dataValidations count="3">
    <x:dataValidation type="list" sqref="B5:B22">
      <x:formula1>"Funcional,No funcional"</x:formula1>
    </x:dataValidation>
    <x:dataValidation type="list" sqref="I5:I22">
      <x:formula1>"Alta,Media,Baja"</x:formula1>
    </x:dataValidation>
    <x:dataValidation type="list" sqref="J5:J22">
      <x:formula1>"Pendiente,En ejecución,Cumple,No cumple"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d4470c1da0847a2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</x:cols>
  <x:sheetData>
    <x:row r="1">
      <x:c r="A1" s="56" t="str">
        <x:v>Resumen de Cobertura - DocuMind AI</x:v>
      </x:c>
      <x:c r="B1" s="56"/>
      <x:c r="C1" s="56"/>
      <x:c r="D1" s="56"/>
      <x:c r="E1" s="56"/>
      <x:c r="F1" s="56"/>
    </x:row>
    <x:row r="2">
      <x:c r="A2" s="28"/>
      <x:c r="B2" s="28"/>
      <x:c r="C2" s="28"/>
      <x:c r="D2" s="28"/>
      <x:c r="E2" s="28"/>
      <x:c r="F2" s="28"/>
    </x:row>
    <x:row r="3">
      <x:c r="A3" s="22" t="str">
        <x:v>Indicador</x:v>
      </x:c>
      <x:c r="B3" s="22" t="str">
        <x:v>Valor</x:v>
      </x:c>
      <x:c r="C3" s="28"/>
      <x:c r="D3" s="22" t="str">
        <x:v>Estado</x:v>
      </x:c>
      <x:c r="E3" s="22" t="str">
        <x:v>Cantidad</x:v>
      </x:c>
      <x:c r="F3" s="28"/>
    </x:row>
    <x:row r="4">
      <x:c r="A4" s="28" t="str">
        <x:v>Total requisitos</x:v>
      </x:c>
      <x:c r="B4" s="28" t="n">
        <x:f>COUNTA(Matriz!A5:A22)</x:f>
        <x:v>18</x:v>
      </x:c>
      <x:c r="C4" s="28"/>
      <x:c r="D4" s="28" t="str">
        <x:v>Pendiente</x:v>
      </x:c>
      <x:c r="E4" s="28" t="n">
        <x:f>COUNTIF(Matriz!J5:J22,"Pendiente")</x:f>
        <x:v>18</x:v>
      </x:c>
      <x:c r="F4" s="28"/>
    </x:row>
    <x:row r="5">
      <x:c r="A5" s="28" t="str">
        <x:v>Requisitos funcionales</x:v>
      </x:c>
      <x:c r="B5" s="28" t="n">
        <x:f>COUNTIF(Matriz!B5:B22,"Funcional")</x:f>
        <x:v>13</x:v>
      </x:c>
      <x:c r="C5" s="28"/>
      <x:c r="D5" s="28" t="str">
        <x:v>En ejecución</x:v>
      </x:c>
      <x:c r="E5" s="28" t="n">
        <x:f>COUNTIF(Matriz!J5:J22,"En ejecución")</x:f>
        <x:v>0</x:v>
      </x:c>
      <x:c r="F5" s="28"/>
    </x:row>
    <x:row r="6">
      <x:c r="A6" s="28" t="str">
        <x:v>Requisitos no funcionales</x:v>
      </x:c>
      <x:c r="B6" s="28" t="n">
        <x:f>COUNTIF(Matriz!B5:B22,"No funcional")</x:f>
        <x:v>5</x:v>
      </x:c>
      <x:c r="C6" s="28"/>
      <x:c r="D6" s="28" t="str">
        <x:v>Cumple</x:v>
      </x:c>
      <x:c r="E6" s="28" t="n">
        <x:f>COUNTIF(Matriz!J5:J22,"Cumple")</x:f>
        <x:v>0</x:v>
      </x:c>
      <x:c r="F6" s="28"/>
    </x:row>
    <x:row r="7">
      <x:c r="A7" s="28" t="str">
        <x:v>Alta prioridad</x:v>
      </x:c>
      <x:c r="B7" s="28" t="n">
        <x:f>COUNTIF(Matriz!I5:I22,"Alta")</x:f>
        <x:v>15</x:v>
      </x:c>
      <x:c r="C7" s="28"/>
      <x:c r="D7" s="28" t="str">
        <x:v>No cumple</x:v>
      </x:c>
      <x:c r="E7" s="28" t="n">
        <x:f>COUNTIF(Matriz!J5:J22,"No cumple")</x:f>
        <x:v>0</x:v>
      </x:c>
      <x:c r="F7" s="28"/>
    </x:row>
    <x:row r="8">
      <x:c r="A8" s="28" t="str">
        <x:v>Con pruebas asociadas</x:v>
      </x:c>
      <x:c r="B8" s="28" t="n">
        <x:f>COUNTIF(Matriz!H5:H22,"&lt;&gt;")</x:f>
        <x:v>18</x:v>
      </x:c>
      <x:c r="C8" s="28"/>
      <x:c r="D8" s="28" t="str">
        <x:v>% Cumplimiento</x:v>
      </x:c>
      <x:c r="E8" s="57" t="n">
        <x:f>IF(COUNTA(Matriz!A5:A22)=0,0,COUNTIF(Matriz!J5:J22,"Cumple")/COUNTA(Matriz!A5:A22))</x:f>
        <x:v>0</x:v>
      </x:c>
      <x:c r="F8" s="28"/>
    </x:row>
    <x:row r="9">
      <x:c r="A9" s="28"/>
      <x:c r="B9" s="28"/>
      <x:c r="C9" s="28"/>
      <x:c r="D9" s="28"/>
      <x:c r="E9" s="28"/>
      <x:c r="F9" s="28"/>
    </x:row>
    <x:row r="10">
      <x:c r="A10" s="58" t="str">
        <x:v>Nota</x:v>
      </x:c>
      <x:c r="B10" s="58" t="str"/>
      <x:c r="C10" s="58" t="str"/>
      <x:c r="D10" s="58" t="str"/>
      <x:c r="E10" s="58" t="str"/>
      <x:c r="F10" s="58" t="str"/>
    </x:row>
    <x:row r="11">
      <x:c r="A11" s="54" t="str">
        <x:v>Los estados y evidencias se deben actualizar únicamente después de ejecutar pruebas reales. La guía del proyecto exige trazabilidad entre requisitos, funcionalidades y pruebas, y que las evidencias correspondan a ejecuciones reales.</x:v>
      </x:c>
      <x:c r="B11" s="54"/>
      <x:c r="C11" s="54"/>
      <x:c r="D11" s="54"/>
      <x:c r="E11" s="54"/>
      <x:c r="F11" s="54"/>
    </x:row>
    <x:row r="12">
      <x:c r="A12" s="54"/>
      <x:c r="B12" s="54"/>
      <x:c r="C12" s="54"/>
      <x:c r="D12" s="54"/>
      <x:c r="E12" s="54"/>
      <x:c r="F12" s="54"/>
    </x:row>
    <x:row r="13">
      <x:c r="A13" s="54"/>
      <x:c r="B13" s="54"/>
      <x:c r="C13" s="54"/>
      <x:c r="D13" s="54"/>
      <x:c r="E13" s="54"/>
      <x:c r="F13" s="54"/>
    </x:row>
  </x:sheetData>
  <x:mergeCells>
    <x:mergeCell ref="A1:F1"/>
    <x:mergeCell ref="A10:F10"/>
    <x:mergeCell ref="A11:F13"/>
  </x:mergeCells>
  <x:pageMargins left="0.7" right="0.7" top="0.75" bottom="0.75" header="0.3" footer="0.3"/>
  <x:drawing xmlns:r="http://schemas.openxmlformats.org/officeDocument/2006/relationships" r:id="R3f3a3c50e4264e77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</x:cols>
  <x:sheetData>
    <x:row r="1">
      <x:c r="A1" s="22" t="str">
        <x:v>Estados</x:v>
      </x:c>
      <x:c r="B1" s="22" t="str">
        <x:v>Prioridades</x:v>
      </x:c>
      <x:c r="C1" s="22" t="str">
        <x:v>Tipos</x:v>
      </x:c>
      <x:c r="D1" s="22" t="str">
        <x:v>Módulos</x:v>
      </x:c>
    </x:row>
    <x:row r="2">
      <x:c r="A2" t="str">
        <x:v>Pendiente</x:v>
      </x:c>
      <x:c r="B2" t="str">
        <x:v>Alta</x:v>
      </x:c>
      <x:c r="C2" t="str">
        <x:v>Funcional</x:v>
      </x:c>
      <x:c r="D2" t="str">
        <x:v>Autenticación</x:v>
      </x:c>
    </x:row>
    <x:row r="3">
      <x:c r="A3" t="str">
        <x:v>En ejecución</x:v>
      </x:c>
      <x:c r="B3" t="str">
        <x:v>Media</x:v>
      </x:c>
      <x:c r="C3" t="str">
        <x:v>No funcional</x:v>
      </x:c>
      <x:c r="D3" t="str">
        <x:v>Repositorios</x:v>
      </x:c>
    </x:row>
    <x:row r="4">
      <x:c r="A4" t="str">
        <x:v>Cumple</x:v>
      </x:c>
      <x:c r="B4" t="str">
        <x:v>Baja</x:v>
      </x:c>
      <x:c r="D4" t="str">
        <x:v>Documentos</x:v>
      </x:c>
    </x:row>
    <x:row r="5">
      <x:c r="A5" t="str">
        <x:v>No cumple</x:v>
      </x:c>
      <x:c r="D5" t="str">
        <x:v>Procesamiento IA</x:v>
      </x:c>
    </x:row>
    <x:row r="6">
      <x:c r="D6" t="str">
        <x:v>Clasificación</x:v>
      </x:c>
    </x:row>
    <x:row r="7">
      <x:c r="D7" t="str">
        <x:v>Resumen</x:v>
      </x:c>
    </x:row>
    <x:row r="8">
      <x:c r="D8" t="str">
        <x:v>Extracción</x:v>
      </x:c>
    </x:row>
    <x:row r="9">
      <x:c r="D9" t="str">
        <x:v>Búsqueda/Consulta</x:v>
      </x:c>
    </x:row>
    <x:row r="10">
      <x:c r="D10" t="str">
        <x:v>Dashboard/Errores</x:v>
      </x:c>
    </x:row>
  </x:sheetData>
  <x:pageMargins left="0.7" right="0.7" top="0.75" bottom="0.75" header="0.3" footer="0.3"/>
</x:worksheet>
</file>